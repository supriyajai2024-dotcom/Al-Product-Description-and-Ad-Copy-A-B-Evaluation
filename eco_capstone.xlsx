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Variants" sheetId="1" state="visible" r:id="rId1"/>
    <sheet xmlns:r="http://schemas.openxmlformats.org/officeDocument/2006/relationships" name="Survey Responses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Analysis" sheetId="4" state="visible" r:id="rId4"/>
  </sheets>
  <definedNames>
    <definedName name="_xlnm._FilterDatabase" localSheetId="0" hidden="1">'Ad Variants'!$A$1:$J$16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15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Genuine votes by prompting style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Dashboard'!$A$6:$A$8</f>
            </numRef>
          </cat>
          <val>
            <numRef>
              <f>'Summary 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Style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70" customWidth="1" min="4" max="4"/>
    <col width="32" customWidth="1" min="5" max="5"/>
    <col width="16" customWidth="1" min="6" max="6"/>
    <col width="42" customWidth="1" min="7" max="7"/>
    <col width="18" customWidth="1" min="8" max="8"/>
    <col width="38" customWidth="1" min="9" max="9"/>
  </cols>
  <sheetData>
    <row r="1">
      <c r="A1" s="1" t="inlineStr">
        <is>
          <t>ad_id</t>
        </is>
      </c>
      <c r="B1" s="1" t="inlineStr">
        <is>
          <t>prompt_style</t>
        </is>
      </c>
      <c r="C1" s="1" t="inlineStr">
        <is>
          <t>headline</t>
        </is>
      </c>
      <c r="D1" s="1" t="inlineStr">
        <is>
          <t>body</t>
        </is>
      </c>
      <c r="E1" s="1" t="inlineStr">
        <is>
          <t>call_to_action</t>
        </is>
      </c>
      <c r="F1" s="1" t="inlineStr">
        <is>
          <t>character_count</t>
        </is>
      </c>
      <c r="G1" s="1" t="inlineStr">
        <is>
          <t>ai_tool</t>
        </is>
      </c>
      <c r="H1" s="1" t="inlineStr">
        <is>
          <t>generation_date</t>
        </is>
      </c>
      <c r="I1" s="1" t="inlineStr">
        <is>
          <t>model</t>
        </is>
      </c>
      <c r="J1" s="1" t="inlineStr">
        <is>
          <t>human_review_status</t>
        </is>
      </c>
    </row>
    <row r="2">
      <c r="A2" s="2" t="inlineStr">
        <is>
          <t>B01</t>
        </is>
      </c>
      <c r="B2" s="2" t="inlineStr">
        <is>
          <t>Basic</t>
        </is>
      </c>
      <c r="C2" s="2" t="inlineStr">
        <is>
          <t>Carry your day, one sip at a time.</t>
        </is>
      </c>
      <c r="D2" s="2" t="inlineStr">
        <is>
          <t>Meet EcoSip Smart Bottle: a reusable water bottle with clear water-level markings, made for everyday routines at school or work.</t>
        </is>
      </c>
      <c r="E2" s="2" t="inlineStr">
        <is>
          <t>Explore EcoSip.</t>
        </is>
      </c>
      <c r="F2" s="2" t="n">
        <v>177</v>
      </c>
      <c r="G2" s="2" t="inlineStr">
        <is>
          <t>OpenAI-compatible chat model (sandbox)</t>
        </is>
      </c>
      <c r="H2" s="2" t="inlineStr">
        <is>
          <t>2026-10-28</t>
        </is>
      </c>
      <c r="I2" s="2" t="inlineStr">
        <is>
          <t>Not recorded; update after generation</t>
        </is>
      </c>
      <c r="J2" s="2" t="inlineStr">
        <is>
          <t>Needs human review</t>
        </is>
      </c>
    </row>
    <row r="3">
      <c r="A3" s="2" t="inlineStr">
        <is>
          <t>B02</t>
        </is>
      </c>
      <c r="B3" s="2" t="inlineStr">
        <is>
          <t>Basic</t>
        </is>
      </c>
      <c r="C3" s="2" t="inlineStr">
        <is>
          <t>A simple bottle for busy days.</t>
        </is>
      </c>
      <c r="D3" s="2" t="inlineStr">
        <is>
          <t>Keep a reusable bottle close as you move between lectures, meetings, and everything in between. EcoSip includes a water-level scale.</t>
        </is>
      </c>
      <c r="E3" s="2" t="inlineStr">
        <is>
          <t>Meet your everyday bottle.</t>
        </is>
      </c>
      <c r="F3" s="2" t="n">
        <v>188</v>
      </c>
      <c r="G3" s="2" t="inlineStr">
        <is>
          <t>OpenAI-compatible chat model (sandbox)</t>
        </is>
      </c>
      <c r="H3" s="2" t="inlineStr">
        <is>
          <t>2026-10-28</t>
        </is>
      </c>
      <c r="I3" s="2" t="inlineStr">
        <is>
          <t>Not recorded; update after generation</t>
        </is>
      </c>
      <c r="J3" s="2" t="inlineStr">
        <is>
          <t>Needs human review</t>
        </is>
      </c>
    </row>
    <row r="4">
      <c r="A4" s="2" t="inlineStr">
        <is>
          <t>B03</t>
        </is>
      </c>
      <c r="B4" s="2" t="inlineStr">
        <is>
          <t>Basic</t>
        </is>
      </c>
      <c r="C4" s="2" t="inlineStr">
        <is>
          <t>Your everyday hydration companion.</t>
        </is>
      </c>
      <c r="D4" s="2" t="inlineStr">
        <is>
          <t>EcoSip Smart Bottle pairs a simple design with easy-to-see water-level markings for students and office workers.</t>
        </is>
      </c>
      <c r="E4" s="2" t="inlineStr">
        <is>
          <t>Take a closer look.</t>
        </is>
      </c>
      <c r="F4" s="2" t="n">
        <v>165</v>
      </c>
      <c r="G4" s="2" t="inlineStr">
        <is>
          <t>OpenAI-compatible chat model (sandbox)</t>
        </is>
      </c>
      <c r="H4" s="2" t="inlineStr">
        <is>
          <t>2026-10-28</t>
        </is>
      </c>
      <c r="I4" s="2" t="inlineStr">
        <is>
          <t>Not recorded; update after generation</t>
        </is>
      </c>
      <c r="J4" s="2" t="inlineStr">
        <is>
          <t>Needs human review</t>
        </is>
      </c>
    </row>
    <row r="5">
      <c r="A5" s="2" t="inlineStr">
        <is>
          <t>B04</t>
        </is>
      </c>
      <c r="B5" s="2" t="inlineStr">
        <is>
          <t>Basic</t>
        </is>
      </c>
      <c r="C5" s="2" t="inlineStr">
        <is>
          <t>From class to desk, bring your bottle.</t>
        </is>
      </c>
      <c r="D5" s="2" t="inlineStr">
        <is>
          <t>A practical reusable bottle designed for daily use, with water-level markings you can check at a glance.</t>
        </is>
      </c>
      <c r="E5" s="2" t="inlineStr">
        <is>
          <t>Discover EcoSip.</t>
        </is>
      </c>
      <c r="F5" s="2" t="n">
        <v>158</v>
      </c>
      <c r="G5" s="2" t="inlineStr">
        <is>
          <t>OpenAI-compatible chat model (sandbox)</t>
        </is>
      </c>
      <c r="H5" s="2" t="inlineStr">
        <is>
          <t>2026-10-28</t>
        </is>
      </c>
      <c r="I5" s="2" t="inlineStr">
        <is>
          <t>Not recorded; update after generation</t>
        </is>
      </c>
      <c r="J5" s="2" t="inlineStr">
        <is>
          <t>Needs human review</t>
        </is>
      </c>
    </row>
    <row r="6">
      <c r="A6" s="2" t="inlineStr">
        <is>
          <t>B05</t>
        </is>
      </c>
      <c r="B6" s="2" t="inlineStr">
        <is>
          <t>Basic</t>
        </is>
      </c>
      <c r="C6" s="2" t="inlineStr">
        <is>
          <t>Make room for a little routine.</t>
        </is>
      </c>
      <c r="D6" s="2" t="inlineStr">
        <is>
          <t>Keep water nearby with EcoSip, a reusable bottle made for students, young professionals, and everyday plans.</t>
        </is>
      </c>
      <c r="E6" s="2" t="inlineStr">
        <is>
          <t>Meet EcoSip today.</t>
        </is>
      </c>
      <c r="F6" s="2" t="n">
        <v>157</v>
      </c>
      <c r="G6" s="2" t="inlineStr">
        <is>
          <t>OpenAI-compatible chat model (sandbox)</t>
        </is>
      </c>
      <c r="H6" s="2" t="inlineStr">
        <is>
          <t>2026-10-28</t>
        </is>
      </c>
      <c r="I6" s="2" t="inlineStr">
        <is>
          <t>Not recorded; update after generation</t>
        </is>
      </c>
      <c r="J6" s="2" t="inlineStr">
        <is>
          <t>Needs human review</t>
        </is>
      </c>
    </row>
    <row r="7">
      <c r="A7" s="2" t="inlineStr">
        <is>
          <t>R01</t>
        </is>
      </c>
      <c r="B7" s="2" t="inlineStr">
        <is>
          <t>Role-based</t>
        </is>
      </c>
      <c r="C7" s="2" t="inlineStr">
        <is>
          <t>A practical pick for packed schedules.</t>
        </is>
      </c>
      <c r="D7" s="2" t="inlineStr">
        <is>
          <t>Designed for college students and young professionals, EcoSip is a reusable water bottle with a clean look and clearly marked water levels.</t>
        </is>
      </c>
      <c r="E7" s="2" t="inlineStr">
        <is>
          <t>See the bottle.</t>
        </is>
      </c>
      <c r="F7" s="2" t="n">
        <v>192</v>
      </c>
      <c r="G7" s="2" t="inlineStr">
        <is>
          <t>OpenAI-compatible chat model (sandbox)</t>
        </is>
      </c>
      <c r="H7" s="2" t="inlineStr">
        <is>
          <t>2026-10-28</t>
        </is>
      </c>
      <c r="I7" s="2" t="inlineStr">
        <is>
          <t>Not recorded; update after generation</t>
        </is>
      </c>
      <c r="J7" s="2" t="inlineStr">
        <is>
          <t>Needs human review</t>
        </is>
      </c>
    </row>
    <row r="8">
      <c r="A8" s="2" t="inlineStr">
        <is>
          <t>R02</t>
        </is>
      </c>
      <c r="B8" s="2" t="inlineStr">
        <is>
          <t>Role-based</t>
        </is>
      </c>
      <c r="C8" s="2" t="inlineStr">
        <is>
          <t>Keep your day within reach.</t>
        </is>
      </c>
      <c r="D8" s="2" t="inlineStr">
        <is>
          <t>Heading to class or settling in at work? EcoSip brings a simple reusable bottle and visible water-level markings to your everyday routine.</t>
        </is>
      </c>
      <c r="E8" s="2" t="inlineStr">
        <is>
          <t>Meet your everyday bottle.</t>
        </is>
      </c>
      <c r="F8" s="2" t="n">
        <v>191</v>
      </c>
      <c r="G8" s="2" t="inlineStr">
        <is>
          <t>OpenAI-compatible chat model (sandbox)</t>
        </is>
      </c>
      <c r="H8" s="2" t="inlineStr">
        <is>
          <t>2026-10-28</t>
        </is>
      </c>
      <c r="I8" s="2" t="inlineStr">
        <is>
          <t>Not recorded; update after generation</t>
        </is>
      </c>
      <c r="J8" s="2" t="inlineStr">
        <is>
          <t>Needs human review</t>
        </is>
      </c>
    </row>
    <row r="9">
      <c r="A9" s="2" t="inlineStr">
        <is>
          <t>R03</t>
        </is>
      </c>
      <c r="B9" s="2" t="inlineStr">
        <is>
          <t>Role-based</t>
        </is>
      </c>
      <c r="C9" s="2" t="inlineStr">
        <is>
          <t>Less fuss, more everyday.</t>
        </is>
      </c>
      <c r="D9" s="2" t="inlineStr">
        <is>
          <t>EcoSip Smart Bottle is made for daily use by students and office workers, with a simple design and an easy-to-read water-level scale.</t>
        </is>
      </c>
      <c r="E9" s="2" t="inlineStr">
        <is>
          <t>Explore EcoSip.</t>
        </is>
      </c>
      <c r="F9" s="2" t="n">
        <v>173</v>
      </c>
      <c r="G9" s="2" t="inlineStr">
        <is>
          <t>OpenAI-compatible chat model (sandbox)</t>
        </is>
      </c>
      <c r="H9" s="2" t="inlineStr">
        <is>
          <t>2026-10-28</t>
        </is>
      </c>
      <c r="I9" s="2" t="inlineStr">
        <is>
          <t>Not recorded; update after generation</t>
        </is>
      </c>
      <c r="J9" s="2" t="inlineStr">
        <is>
          <t>Needs human review</t>
        </is>
      </c>
    </row>
    <row r="10">
      <c r="A10" s="2" t="inlineStr">
        <is>
          <t>R04</t>
        </is>
      </c>
      <c r="B10" s="2" t="inlineStr">
        <is>
          <t>Role-based</t>
        </is>
      </c>
      <c r="C10" s="2" t="inlineStr">
        <is>
          <t>A bottle that fits your routine.</t>
        </is>
      </c>
      <c r="D10" s="2" t="inlineStr">
        <is>
          <t>Bring EcoSip along from campus to the office. Its reusable body and clear water-level markings keep the design practical and straightforward.</t>
        </is>
      </c>
      <c r="E10" s="2" t="inlineStr">
        <is>
          <t>Take a look.</t>
        </is>
      </c>
      <c r="F10" s="2" t="n">
        <v>185</v>
      </c>
      <c r="G10" s="2" t="inlineStr">
        <is>
          <t>OpenAI-compatible chat model (sandbox)</t>
        </is>
      </c>
      <c r="H10" s="2" t="inlineStr">
        <is>
          <t>2026-10-28</t>
        </is>
      </c>
      <c r="I10" s="2" t="inlineStr">
        <is>
          <t>Not recorded; update after generation</t>
        </is>
      </c>
      <c r="J10" s="2" t="inlineStr">
        <is>
          <t>Needs human review</t>
        </is>
      </c>
    </row>
    <row r="11">
      <c r="A11" s="2" t="inlineStr">
        <is>
          <t>R05</t>
        </is>
      </c>
      <c r="B11" s="2" t="inlineStr">
        <is>
          <t>Role-based</t>
        </is>
      </c>
      <c r="C11" s="2" t="inlineStr">
        <is>
          <t>Everyday carry, made simple.</t>
        </is>
      </c>
      <c r="D11" s="2" t="inlineStr">
        <is>
          <t>Meet a reusable bottle designed for busy students and young professionals. EcoSip features a clear water-level scale in a simple design.</t>
        </is>
      </c>
      <c r="E11" s="2" t="inlineStr">
        <is>
          <t>Find out about EcoSip.</t>
        </is>
      </c>
      <c r="F11" s="2" t="n">
        <v>186</v>
      </c>
      <c r="G11" s="2" t="inlineStr">
        <is>
          <t>OpenAI-compatible chat model (sandbox)</t>
        </is>
      </c>
      <c r="H11" s="2" t="inlineStr">
        <is>
          <t>2026-10-28</t>
        </is>
      </c>
      <c r="I11" s="2" t="inlineStr">
        <is>
          <t>Not recorded; update after generation</t>
        </is>
      </c>
      <c r="J11" s="2" t="inlineStr">
        <is>
          <t>Needs human review</t>
        </is>
      </c>
    </row>
    <row r="12">
      <c r="A12" s="2" t="inlineStr">
        <is>
          <t>F01</t>
        </is>
      </c>
      <c r="B12" s="2" t="inlineStr">
        <is>
          <t>Few-shot</t>
        </is>
      </c>
      <c r="C12" s="2" t="inlineStr">
        <is>
          <t>Small routine. Ready to go.</t>
        </is>
      </c>
      <c r="D12" s="2" t="inlineStr">
        <is>
          <t>A notebook, your keys, and a reusable bottle. EcoSip keeps the everyday setup simple, with clear water-level markings.</t>
        </is>
      </c>
      <c r="E12" s="2" t="inlineStr">
        <is>
          <t>Meet EcoSip.</t>
        </is>
      </c>
      <c r="F12" s="2" t="n">
        <v>157</v>
      </c>
      <c r="G12" s="2" t="inlineStr">
        <is>
          <t>OpenAI-compatible chat model (sandbox)</t>
        </is>
      </c>
      <c r="H12" s="2" t="inlineStr">
        <is>
          <t>2026-10-28</t>
        </is>
      </c>
      <c r="I12" s="2" t="inlineStr">
        <is>
          <t>Not recorded; update after generation</t>
        </is>
      </c>
      <c r="J12" s="2" t="inlineStr">
        <is>
          <t>Needs human review</t>
        </is>
      </c>
    </row>
    <row r="13">
      <c r="A13" s="2" t="inlineStr">
        <is>
          <t>F02</t>
        </is>
      </c>
      <c r="B13" s="2" t="inlineStr">
        <is>
          <t>Few-shot</t>
        </is>
      </c>
      <c r="C13" s="2" t="inlineStr">
        <is>
          <t>Your desk-side daily essential.</t>
        </is>
      </c>
      <c r="D13" s="2" t="inlineStr">
        <is>
          <t>Settle in, fill up, and keep your reusable EcoSip bottle nearby. Its water-level scale is easy to spot during a busy day.</t>
        </is>
      </c>
      <c r="E13" s="2" t="inlineStr">
        <is>
          <t>Meet your everyday bottle.</t>
        </is>
      </c>
      <c r="F13" s="2" t="n">
        <v>178</v>
      </c>
      <c r="G13" s="2" t="inlineStr">
        <is>
          <t>OpenAI-compatible chat model (sandbox)</t>
        </is>
      </c>
      <c r="H13" s="2" t="inlineStr">
        <is>
          <t>2026-10-28</t>
        </is>
      </c>
      <c r="I13" s="2" t="inlineStr">
        <is>
          <t>Not recorded; update after generation</t>
        </is>
      </c>
      <c r="J13" s="2" t="inlineStr">
        <is>
          <t>Needs human review</t>
        </is>
      </c>
    </row>
    <row r="14">
      <c r="A14" s="2" t="inlineStr">
        <is>
          <t>F03</t>
        </is>
      </c>
      <c r="B14" s="2" t="inlineStr">
        <is>
          <t>Few-shot</t>
        </is>
      </c>
      <c r="C14" s="2" t="inlineStr">
        <is>
          <t>Campus days call for simple things.</t>
        </is>
      </c>
      <c r="D14" s="2" t="inlineStr">
        <is>
          <t>EcoSip is a reusable water bottle made for everyday use, with a simple design that suits students and office workers alike.</t>
        </is>
      </c>
      <c r="E14" s="2" t="inlineStr">
        <is>
          <t>See EcoSip.</t>
        </is>
      </c>
      <c r="F14" s="2" t="n">
        <v>169</v>
      </c>
      <c r="G14" s="2" t="inlineStr">
        <is>
          <t>OpenAI-compatible chat model (sandbox)</t>
        </is>
      </c>
      <c r="H14" s="2" t="inlineStr">
        <is>
          <t>2026-10-28</t>
        </is>
      </c>
      <c r="I14" s="2" t="inlineStr">
        <is>
          <t>Not recorded; update after generation</t>
        </is>
      </c>
      <c r="J14" s="2" t="inlineStr">
        <is>
          <t>Needs human review</t>
        </is>
      </c>
    </row>
    <row r="15">
      <c r="A15" s="2" t="inlineStr">
        <is>
          <t>F04</t>
        </is>
      </c>
      <c r="B15" s="2" t="inlineStr">
        <is>
          <t>Few-shot</t>
        </is>
      </c>
      <c r="C15" s="2" t="inlineStr">
        <is>
          <t>A clear view of your bottle.</t>
        </is>
      </c>
      <c r="D15" s="2" t="inlineStr">
        <is>
          <t>With visible water-level markings and a straightforward design, EcoSip is ready to join your daily routine at school or work.</t>
        </is>
      </c>
      <c r="E15" s="2" t="inlineStr">
        <is>
          <t>Explore the bottle.</t>
        </is>
      </c>
      <c r="F15" s="2" t="n">
        <v>172</v>
      </c>
      <c r="G15" s="2" t="inlineStr">
        <is>
          <t>OpenAI-compatible chat model (sandbox)</t>
        </is>
      </c>
      <c r="H15" s="2" t="inlineStr">
        <is>
          <t>2026-10-28</t>
        </is>
      </c>
      <c r="I15" s="2" t="inlineStr">
        <is>
          <t>Not recorded; update after generation</t>
        </is>
      </c>
      <c r="J15" s="2" t="inlineStr">
        <is>
          <t>Needs human review</t>
        </is>
      </c>
    </row>
    <row r="16">
      <c r="A16" s="2" t="inlineStr">
        <is>
          <t>F05</t>
        </is>
      </c>
      <c r="B16" s="2" t="inlineStr">
        <is>
          <t>Few-shot</t>
        </is>
      </c>
      <c r="C16" s="2" t="inlineStr">
        <is>
          <t>Bring a little practical with you.</t>
        </is>
      </c>
      <c r="D16" s="2" t="inlineStr">
        <is>
          <t>From your morning commute to your afternoon study session, EcoSip is a reusable bottle with a clearly marked water-level scale.</t>
        </is>
      </c>
      <c r="E16" s="2" t="inlineStr">
        <is>
          <t>Take a closer look.</t>
        </is>
      </c>
      <c r="F16" s="2" t="n">
        <v>180</v>
      </c>
      <c r="G16" s="2" t="inlineStr">
        <is>
          <t>OpenAI-compatible chat model (sandbox)</t>
        </is>
      </c>
      <c r="H16" s="2" t="inlineStr">
        <is>
          <t>2026-10-28</t>
        </is>
      </c>
      <c r="I16" s="2" t="inlineStr">
        <is>
          <t>Not recorded; update after generation</t>
        </is>
      </c>
      <c r="J16" s="2" t="inlineStr">
        <is>
          <t>Needs human review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22" customWidth="1" min="5" max="5"/>
    <col width="14" customWidth="1" min="6" max="6"/>
    <col width="20" customWidth="1" min="7" max="7"/>
    <col width="48" customWidth="1" min="8" max="8"/>
    <col width="14" customWidth="1" min="9" max="9"/>
    <col width="12" customWidth="1" min="10" max="10"/>
  </cols>
  <sheetData>
    <row r="1">
      <c r="A1" s="1" t="inlineStr">
        <is>
          <t>response_id</t>
        </is>
      </c>
      <c r="B1" s="1" t="inlineStr">
        <is>
          <t>is_genuine</t>
        </is>
      </c>
      <c r="C1" s="1" t="inlineStr">
        <is>
          <t>preferred_ad_id</t>
        </is>
      </c>
      <c r="D1" s="1" t="inlineStr">
        <is>
          <t>clarity_1_5</t>
        </is>
      </c>
      <c r="E1" s="1" t="inlineStr">
        <is>
          <t>trustworthiness_1_5</t>
        </is>
      </c>
      <c r="F1" s="1" t="inlineStr">
        <is>
          <t>appeal_1_5</t>
        </is>
      </c>
      <c r="G1" s="1" t="inlineStr">
        <is>
          <t>consideration_1_5</t>
        </is>
      </c>
      <c r="H1" s="1" t="inlineStr">
        <is>
          <t>why_selected</t>
        </is>
      </c>
      <c r="I1" s="1" t="inlineStr">
        <is>
          <t>age_18_30</t>
        </is>
      </c>
      <c r="J1" s="1" t="inlineStr">
        <is>
          <t>valid</t>
        </is>
      </c>
    </row>
    <row r="2">
      <c r="B2" t="inlineStr">
        <is>
          <t>TRUE</t>
        </is>
      </c>
      <c r="J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</row>
    <row r="2">
      <c r="A2" t="inlineStr">
        <is>
          <t>Valid genuine responses</t>
        </is>
      </c>
      <c r="B2">
        <f>COUNTIFS('Survey Responses'!B:B,TRUE,'Survey Responses'!J:J,TRUE)</f>
        <v/>
      </c>
    </row>
    <row r="3">
      <c r="A3" t="inlineStr">
        <is>
          <t>Status</t>
        </is>
      </c>
      <c r="B3">
        <f>IF(B2=0,"AWAITING SURVEY DATA",IF(B2&lt;20,"FEWER THAN 20 GENUINE RESPONSES","RESPONSE TARGET MET"))</f>
        <v/>
      </c>
    </row>
    <row r="5">
      <c r="A5" s="1" t="inlineStr">
        <is>
          <t>Prompt style</t>
        </is>
      </c>
      <c r="B5" s="1" t="inlineStr">
        <is>
          <t>Votes</t>
        </is>
      </c>
      <c r="C5" s="1" t="inlineStr">
        <is>
          <t>Preference %</t>
        </is>
      </c>
      <c r="D5" s="1" t="inlineStr">
        <is>
          <t>Avg clarity</t>
        </is>
      </c>
      <c r="E5" s="1" t="inlineStr">
        <is>
          <t>Avg trust</t>
        </is>
      </c>
      <c r="F5" s="1" t="inlineStr">
        <is>
          <t>Avg appeal</t>
        </is>
      </c>
      <c r="G5" s="1" t="inlineStr">
        <is>
          <t>Avg consideration</t>
        </is>
      </c>
    </row>
    <row r="6">
      <c r="A6" t="inlineStr">
        <is>
          <t>Basic</t>
        </is>
      </c>
      <c r="B6">
        <f>COUNTIFS('Survey Responses'!$C:$C,"B*",'Survey Responses'!$B:$B,TRUE,'Survey Responses'!$J:$J,TRUE)</f>
        <v/>
      </c>
      <c r="C6">
        <f>IFERROR(B6/$B$2,0)</f>
        <v/>
      </c>
      <c r="D6">
        <f>IFERROR(AVERAGEIFS('Survey Responses'!$D:$D,'Survey Responses'!$C:$C,"B*",'Survey Responses'!$B:$B,TRUE,'Survey Responses'!$J:$J,TRUE),"")</f>
        <v/>
      </c>
      <c r="E6">
        <f>IFERROR(AVERAGEIFS('Survey Responses'!$E:$E,'Survey Responses'!$C:$C,"B*",'Survey Responses'!$B:$B,TRUE,'Survey Responses'!$J:$J,TRUE),"")</f>
        <v/>
      </c>
      <c r="F6">
        <f>IFERROR(AVERAGEIFS('Survey Responses'!$F:$F,'Survey Responses'!$C:$C,"B*",'Survey Responses'!$B:$B,TRUE,'Survey Responses'!$J:$J,TRUE),"")</f>
        <v/>
      </c>
      <c r="G6">
        <f>IFERROR(AVERAGEIFS('Survey Responses'!$G:$G,'Survey Responses'!$C:$C,"B*",'Survey Responses'!$B:$B,TRUE,'Survey Responses'!$J:$J,TRUE),"")</f>
        <v/>
      </c>
    </row>
    <row r="7">
      <c r="A7" t="inlineStr">
        <is>
          <t>Role-based</t>
        </is>
      </c>
      <c r="B7">
        <f>COUNTIFS('Survey Responses'!$C:$C,"R*",'Survey Responses'!$B:$B,TRUE,'Survey Responses'!$J:$J,TRUE)</f>
        <v/>
      </c>
      <c r="C7">
        <f>IFERROR(B7/$B$2,0)</f>
        <v/>
      </c>
      <c r="D7">
        <f>IFERROR(AVERAGEIFS('Survey Responses'!$D:$D,'Survey Responses'!$C:$C,"R*",'Survey Responses'!$B:$B,TRUE,'Survey Responses'!$J:$J,TRUE),"")</f>
        <v/>
      </c>
      <c r="E7">
        <f>IFERROR(AVERAGEIFS('Survey Responses'!$E:$E,'Survey Responses'!$C:$C,"R*",'Survey Responses'!$B:$B,TRUE,'Survey Responses'!$J:$J,TRUE),"")</f>
        <v/>
      </c>
      <c r="F7">
        <f>IFERROR(AVERAGEIFS('Survey Responses'!$F:$F,'Survey Responses'!$C:$C,"R*",'Survey Responses'!$B:$B,TRUE,'Survey Responses'!$J:$J,TRUE),"")</f>
        <v/>
      </c>
      <c r="G7">
        <f>IFERROR(AVERAGEIFS('Survey Responses'!$G:$G,'Survey Responses'!$C:$C,"R*",'Survey Responses'!$B:$B,TRUE,'Survey Responses'!$J:$J,TRUE),"")</f>
        <v/>
      </c>
    </row>
    <row r="8">
      <c r="A8" t="inlineStr">
        <is>
          <t>Few-shot</t>
        </is>
      </c>
      <c r="B8">
        <f>COUNTIFS('Survey Responses'!$C:$C,"F*",'Survey Responses'!$B:$B,TRUE,'Survey Responses'!$J:$J,TRUE)</f>
        <v/>
      </c>
      <c r="C8">
        <f>IFERROR(B8/$B$2,0)</f>
        <v/>
      </c>
      <c r="D8">
        <f>IFERROR(AVERAGEIFS('Survey Responses'!$D:$D,'Survey Responses'!$C:$C,"F*",'Survey Responses'!$B:$B,TRUE,'Survey Responses'!$J:$J,TRUE),"")</f>
        <v/>
      </c>
      <c r="E8">
        <f>IFERROR(AVERAGEIFS('Survey Responses'!$E:$E,'Survey Responses'!$C:$C,"F*",'Survey Responses'!$B:$B,TRUE,'Survey Responses'!$J:$J,TRUE),"")</f>
        <v/>
      </c>
      <c r="F8">
        <f>IFERROR(AVERAGEIFS('Survey Responses'!$F:$F,'Survey Responses'!$C:$C,"F*",'Survey Responses'!$B:$B,TRUE,'Survey Responses'!$J:$J,TRUE),"")</f>
        <v/>
      </c>
      <c r="G8">
        <f>IFERROR(AVERAGEIFS('Survey Responses'!$G:$G,'Survey Responses'!$C:$C,"F*",'Survey Responses'!$B:$B,TRUE,'Survey Responses'!$J:$J,TRUE),"")</f>
        <v/>
      </c>
    </row>
    <row r="11">
      <c r="A11" t="inlineStr">
        <is>
          <t>Winner</t>
        </is>
      </c>
      <c r="B11" t="inlineStr">
        <is>
          <t>Pending genuine survey data; no winner declared.</t>
        </is>
      </c>
    </row>
    <row r="20">
      <c r="A20" s="3" t="inlineStr">
        <is>
          <t>Votes per individual advertisement</t>
        </is>
      </c>
    </row>
    <row r="21">
      <c r="A21" s="1" t="inlineStr">
        <is>
          <t>Ad ID</t>
        </is>
      </c>
      <c r="B21" s="1" t="inlineStr">
        <is>
          <t>Prompt style</t>
        </is>
      </c>
      <c r="C21" s="1" t="inlineStr">
        <is>
          <t>Genuine votes</t>
        </is>
      </c>
      <c r="D21" s="1" t="n"/>
      <c r="E21" s="1" t="n"/>
      <c r="F21" s="1" t="n"/>
      <c r="G21" s="1" t="n"/>
    </row>
    <row r="22">
      <c r="A22" t="inlineStr">
        <is>
          <t>A01</t>
        </is>
      </c>
      <c r="B22">
        <f>VLOOKUP(A22,'Ad Variants'!$A:$B,2,FALSE)</f>
        <v/>
      </c>
      <c r="C22">
        <f>COUNTIFS('Survey Responses'!$C:$C,A22,'Survey Responses'!$B:$B,TRUE,'Survey Responses'!$J:$J,TRUE)</f>
        <v/>
      </c>
    </row>
    <row r="23">
      <c r="A23" t="inlineStr">
        <is>
          <t>A02</t>
        </is>
      </c>
      <c r="B23">
        <f>VLOOKUP(A23,'Ad Variants'!$A:$B,2,FALSE)</f>
        <v/>
      </c>
      <c r="C23">
        <f>COUNTIFS('Survey Responses'!$C:$C,A23,'Survey Responses'!$B:$B,TRUE,'Survey Responses'!$J:$J,TRUE)</f>
        <v/>
      </c>
    </row>
    <row r="24">
      <c r="A24" t="inlineStr">
        <is>
          <t>A03</t>
        </is>
      </c>
      <c r="B24">
        <f>VLOOKUP(A24,'Ad Variants'!$A:$B,2,FALSE)</f>
        <v/>
      </c>
      <c r="C24">
        <f>COUNTIFS('Survey Responses'!$C:$C,A24,'Survey Responses'!$B:$B,TRUE,'Survey Responses'!$J:$J,TRUE)</f>
        <v/>
      </c>
    </row>
    <row r="25">
      <c r="A25" t="inlineStr">
        <is>
          <t>A04</t>
        </is>
      </c>
      <c r="B25">
        <f>VLOOKUP(A25,'Ad Variants'!$A:$B,2,FALSE)</f>
        <v/>
      </c>
      <c r="C25">
        <f>COUNTIFS('Survey Responses'!$C:$C,A25,'Survey Responses'!$B:$B,TRUE,'Survey Responses'!$J:$J,TRUE)</f>
        <v/>
      </c>
    </row>
    <row r="26">
      <c r="A26" t="inlineStr">
        <is>
          <t>A05</t>
        </is>
      </c>
      <c r="B26">
        <f>VLOOKUP(A26,'Ad Variants'!$A:$B,2,FALSE)</f>
        <v/>
      </c>
      <c r="C26">
        <f>COUNTIFS('Survey Responses'!$C:$C,A26,'Survey Responses'!$B:$B,TRUE,'Survey Responses'!$J:$J,TRUE)</f>
        <v/>
      </c>
    </row>
    <row r="27">
      <c r="A27" t="inlineStr">
        <is>
          <t>B01</t>
        </is>
      </c>
      <c r="B27">
        <f>VLOOKUP(A27,'Ad Variants'!$A:$B,2,FALSE)</f>
        <v/>
      </c>
      <c r="C27">
        <f>COUNTIFS('Survey Responses'!$C:$C,A27,'Survey Responses'!$B:$B,TRUE,'Survey Responses'!$J:$J,TRUE)</f>
        <v/>
      </c>
    </row>
    <row r="28">
      <c r="A28" t="inlineStr">
        <is>
          <t>B02</t>
        </is>
      </c>
      <c r="B28">
        <f>VLOOKUP(A28,'Ad Variants'!$A:$B,2,FALSE)</f>
        <v/>
      </c>
      <c r="C28">
        <f>COUNTIFS('Survey Responses'!$C:$C,A28,'Survey Responses'!$B:$B,TRUE,'Survey Responses'!$J:$J,TRUE)</f>
        <v/>
      </c>
    </row>
    <row r="29">
      <c r="A29" t="inlineStr">
        <is>
          <t>B03</t>
        </is>
      </c>
      <c r="B29">
        <f>VLOOKUP(A29,'Ad Variants'!$A:$B,2,FALSE)</f>
        <v/>
      </c>
      <c r="C29">
        <f>COUNTIFS('Survey Responses'!$C:$C,A29,'Survey Responses'!$B:$B,TRUE,'Survey Responses'!$J:$J,TRUE)</f>
        <v/>
      </c>
    </row>
    <row r="30">
      <c r="A30" t="inlineStr">
        <is>
          <t>B04</t>
        </is>
      </c>
      <c r="B30">
        <f>VLOOKUP(A30,'Ad Variants'!$A:$B,2,FALSE)</f>
        <v/>
      </c>
      <c r="C30">
        <f>COUNTIFS('Survey Responses'!$C:$C,A30,'Survey Responses'!$B:$B,TRUE,'Survey Responses'!$J:$J,TRUE)</f>
        <v/>
      </c>
    </row>
    <row r="31">
      <c r="A31" t="inlineStr">
        <is>
          <t>B05</t>
        </is>
      </c>
      <c r="B31">
        <f>VLOOKUP(A31,'Ad Variants'!$A:$B,2,FALSE)</f>
        <v/>
      </c>
      <c r="C31">
        <f>COUNTIFS('Survey Responses'!$C:$C,A31,'Survey Responses'!$B:$B,TRUE,'Survey Responses'!$J:$J,TRUE)</f>
        <v/>
      </c>
    </row>
    <row r="32">
      <c r="A32" t="inlineStr">
        <is>
          <t>C01</t>
        </is>
      </c>
      <c r="B32">
        <f>VLOOKUP(A32,'Ad Variants'!$A:$B,2,FALSE)</f>
        <v/>
      </c>
      <c r="C32">
        <f>COUNTIFS('Survey Responses'!$C:$C,A32,'Survey Responses'!$B:$B,TRUE,'Survey Responses'!$J:$J,TRUE)</f>
        <v/>
      </c>
    </row>
    <row r="33">
      <c r="A33" t="inlineStr">
        <is>
          <t>C02</t>
        </is>
      </c>
      <c r="B33">
        <f>VLOOKUP(A33,'Ad Variants'!$A:$B,2,FALSE)</f>
        <v/>
      </c>
      <c r="C33">
        <f>COUNTIFS('Survey Responses'!$C:$C,A33,'Survey Responses'!$B:$B,TRUE,'Survey Responses'!$J:$J,TRUE)</f>
        <v/>
      </c>
    </row>
    <row r="34">
      <c r="A34" t="inlineStr">
        <is>
          <t>C03</t>
        </is>
      </c>
      <c r="B34">
        <f>VLOOKUP(A34,'Ad Variants'!$A:$B,2,FALSE)</f>
        <v/>
      </c>
      <c r="C34">
        <f>COUNTIFS('Survey Responses'!$C:$C,A34,'Survey Responses'!$B:$B,TRUE,'Survey Responses'!$J:$J,TRUE)</f>
        <v/>
      </c>
    </row>
    <row r="35">
      <c r="A35" t="inlineStr">
        <is>
          <t>C04</t>
        </is>
      </c>
      <c r="B35">
        <f>VLOOKUP(A35,'Ad Variants'!$A:$B,2,FALSE)</f>
        <v/>
      </c>
      <c r="C35">
        <f>COUNTIFS('Survey Responses'!$C:$C,A35,'Survey Responses'!$B:$B,TRUE,'Survey Responses'!$J:$J,TRUE)</f>
        <v/>
      </c>
    </row>
    <row r="36">
      <c r="A36" t="inlineStr">
        <is>
          <t>C05</t>
        </is>
      </c>
      <c r="B36">
        <f>VLOOKUP(A36,'Ad Variants'!$A:$B,2,FALSE)</f>
        <v/>
      </c>
      <c r="C36">
        <f>COUNTIFS('Survey Responses'!$C:$C,A36,'Survey Responses'!$B:$B,TRUE,'Survey Responses'!$J:$J,TRUE)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t="inlineStr">
        <is>
          <t>Analysis</t>
        </is>
      </c>
      <c r="B1" t="inlineStr">
        <is>
          <t>Status / formula</t>
        </is>
      </c>
    </row>
    <row r="2">
      <c r="A2" t="inlineStr">
        <is>
          <t>Overall interpretation</t>
        </is>
      </c>
      <c r="B2" t="inlineStr">
        <is>
          <t>No genuine survey data supplied; findings pending.</t>
        </is>
      </c>
    </row>
    <row r="3">
      <c r="A3" t="inlineStr">
        <is>
          <t>Minimum target</t>
        </is>
      </c>
      <c r="B3" t="inlineStr">
        <is>
          <t>20 genuine volunteers</t>
        </is>
      </c>
    </row>
    <row r="4">
      <c r="A4" t="inlineStr">
        <is>
          <t>Winner</t>
        </is>
      </c>
      <c r="B4">
        <f>'Summary Dashboard'!B11</f>
        <v/>
      </c>
    </row>
    <row r="5">
      <c r="A5" t="inlineStr">
        <is>
          <t>Method note</t>
        </is>
      </c>
      <c r="B5" t="inlineStr">
        <is>
          <t>Do not infer causality or statistical significance from descriptive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2026-10-28T10:32:52Z</dcterms:created>
  <dcterms:modified xmlns:dcterms="http://purl.org/dc/terms/" xmlns:xsi="http://www.w3.org/2001/XMLSchema-instance" xsi:type="dcterms:W3CDTF">2026-10-28T10:33:26Z</dcterms:modified>
</cp:coreProperties>
</file>